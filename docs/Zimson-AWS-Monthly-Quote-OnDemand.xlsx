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B2726135-F393-4071-ACB6-975E069696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nthly On-Demand" sheetId="1" r:id="rId1"/>
    <sheet name="Assump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D10" i="1"/>
  <c r="D11" i="1"/>
  <c r="D12" i="1"/>
  <c r="D13" i="1"/>
  <c r="D14" i="1"/>
  <c r="D15" i="1"/>
  <c r="D9" i="1"/>
</calcChain>
</file>

<file path=xl/sharedStrings.xml><?xml version="1.0" encoding="utf-8"?>
<sst xmlns="http://schemas.openxmlformats.org/spreadsheetml/2006/main" count="52" uniqueCount="49">
  <si>
    <t>Zimson Service Management — AWS Hosting Quote (Monthly, On-Demand)</t>
  </si>
  <si>
    <t>Package summary</t>
  </si>
  <si>
    <t>EC2</t>
  </si>
  <si>
    <t>2 × t4g.large</t>
  </si>
  <si>
    <t>Database</t>
  </si>
  <si>
    <t>RDS PostgreSQL db.t4g.large Multi-AZ, 100 GB</t>
  </si>
  <si>
    <t>Files</t>
  </si>
  <si>
    <t>S3 private bucket (SRF + Quick Bill images)</t>
  </si>
  <si>
    <t>Line item</t>
  </si>
  <si>
    <t>Monthly (USD)</t>
  </si>
  <si>
    <t>Monthly (INR)</t>
  </si>
  <si>
    <t>Notes</t>
  </si>
  <si>
    <t>EC2 application servers (2 × t4g.large, 2 vCPU, 8 GB each)</t>
  </si>
  <si>
    <t>Graviton; API + static SPA</t>
  </si>
  <si>
    <t>RDS PostgreSQL (db.t4g.large Multi-AZ)</t>
  </si>
  <si>
    <t>Managed DB, failover</t>
  </si>
  <si>
    <t>RDS storage (100 GB gp3)</t>
  </si>
  <si>
    <t>Customers, SRF, inventory</t>
  </si>
  <si>
    <t>Application Load Balancer (ALB + HTTPS)</t>
  </si>
  <si>
    <t>SSL via ACM (cert free)</t>
  </si>
  <si>
    <t>EBS volumes (2 × 40 GB gp3, app servers)</t>
  </si>
  <si>
    <t>OS + app only; photos on S3</t>
  </si>
  <si>
    <t>Amazon S3 (≈250 GB + requests)</t>
  </si>
  <si>
    <t>srf/ + quick-bill/ prefixes</t>
  </si>
  <si>
    <t>Data transfer &amp; miscellaneous</t>
  </si>
  <si>
    <t>In-region, light egress</t>
  </si>
  <si>
    <t/>
  </si>
  <si>
    <t>TOTAL (monthly estimate)</t>
  </si>
  <si>
    <t>Rounded quote ~$338 / ₹28,700</t>
  </si>
  <si>
    <t>Excluded from this quote</t>
  </si>
  <si>
    <t>• SMS (Qikberry), WhatsApp (Qikchat), SMTP email</t>
  </si>
  <si>
    <t>• Domain registration</t>
  </si>
  <si>
    <t>• Application development &amp; S3 integration work</t>
  </si>
  <si>
    <t>• AWS support plans (optional Business Support ~10% of bill)</t>
  </si>
  <si>
    <t>S3 assumption</t>
  </si>
  <si>
    <t>Zimson AWS Hosting — Assumptions (On-Demand Quote)</t>
  </si>
  <si>
    <t>Stores: ~80 retail/service locations</t>
  </si>
  <si>
    <t>Concurrent users (peak): ~100–200</t>
  </si>
  <si>
    <t>Region: Asia Pacific (Mumbai) ap-south-1</t>
  </si>
  <si>
    <t>App: Node.js + Express, React SPA served from EC2</t>
  </si>
  <si>
    <t>Database: Amazon RDS for PostgreSQL (not on EC2)</t>
  </si>
  <si>
    <t>Images: Amazon S3 (required when using 2+ app servers behind ALB)</t>
  </si>
  <si>
    <t>Why 2 EC2 instances: high availability during deploys and instance failure</t>
  </si>
  <si>
    <t>Why Multi-AZ RDS: automatic failover if an availability zone fails</t>
  </si>
  <si>
    <t>Cost optimization (not in this sheet): 1-year Reserved Instances can reduce EC2/RDS ~25–35%</t>
  </si>
  <si>
    <t>Pilot option: 1 × t4g.medium + db.t4g.medium Single-AZ ≈ ₹12,000–15,000/month for first stores</t>
  </si>
  <si>
    <t xml:space="preserve">Scope: 80 stores | Region: ap-south-1 (Mumbai) | FX: ₹96 per USD | Estimate only </t>
  </si>
  <si>
    <t>1.5–2 GB new uploads/day across 80 stores; ~250 GB stored average in year 1.</t>
  </si>
  <si>
    <t>SL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</si>
</sst>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₹&quot;#,##0"/>
  </numFmts>
  <fonts count="6" x14ac:knownFonts="1">
    <font>
      <sz val="11"/>
      <color theme="1"/>
      <name val="Calibri"/>
      <family val="2"/>
      <scheme val="minor"/>
    </font>
    <font>
      <b/>
      <sz val="14"/>
      <color rgb="FF1B3A8F"/>
      <name val="Calibri"/>
    </font>
    <font>
      <b/>
      <sz val="11"/>
      <name val="Calibri"/>
    </font>
    <font>
      <b/>
      <sz val="11"/>
      <color rgb="FFFFFFFF"/>
      <name val="Calibri"/>
    </font>
    <font>
      <b/>
      <sz val="12"/>
      <name val="Calibri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B3A8F"/>
      </patternFill>
    </fill>
    <fill>
      <patternFill patternType="solid">
        <fgColor rgb="FFC9A2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2" fillId="3" borderId="0" xfId="0" applyFont="1" applyFill="1"/>
    <xf numFmtId="164" fontId="2" fillId="3" borderId="0" xfId="0" applyNumberFormat="1" applyFont="1" applyFill="1"/>
    <xf numFmtId="165" fontId="2" fillId="3" borderId="0" xfId="0" applyNumberFormat="1" applyFont="1" applyFill="1"/>
    <xf numFmtId="0" fontId="4" fillId="0" borderId="0" xfId="0" applyFont="1"/>
    <xf numFmtId="0" fontId="1" fillId="0" borderId="0" xfId="0" applyFont="1"/>
    <xf numFmtId="0" fontId="0" fillId="0" borderId="0" xfId="0"/>
    <xf numFmtId="0" fontId="5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pane ySplit="8" topLeftCell="A9" activePane="bottomLeft" state="frozen"/>
      <selection pane="bottomLeft" sqref="A1:E25"/>
    </sheetView>
  </sheetViews>
  <sheetFormatPr defaultRowHeight="15" x14ac:dyDescent="0.25"/>
  <cols>
    <col min="1" max="1" width="8.28515625" customWidth="1"/>
    <col min="2" max="2" width="52" customWidth="1"/>
    <col min="3" max="4" width="16" customWidth="1"/>
    <col min="5" max="5" width="50.7109375" bestFit="1" customWidth="1"/>
  </cols>
  <sheetData>
    <row r="1" spans="1:5" ht="18.75" x14ac:dyDescent="0.3">
      <c r="A1" s="9" t="s">
        <v>0</v>
      </c>
      <c r="B1" s="9"/>
      <c r="C1" s="9"/>
      <c r="D1" s="9"/>
      <c r="E1" s="9"/>
    </row>
    <row r="2" spans="1:5" x14ac:dyDescent="0.25">
      <c r="A2" s="10" t="s">
        <v>46</v>
      </c>
      <c r="B2" s="10"/>
      <c r="C2" s="10"/>
      <c r="D2" s="10"/>
      <c r="E2" s="10"/>
    </row>
    <row r="4" spans="1:5" x14ac:dyDescent="0.25">
      <c r="A4" s="1" t="s">
        <v>1</v>
      </c>
    </row>
    <row r="5" spans="1:5" x14ac:dyDescent="0.25">
      <c r="A5" s="1" t="s">
        <v>2</v>
      </c>
      <c r="B5" t="s">
        <v>3</v>
      </c>
    </row>
    <row r="6" spans="1:5" x14ac:dyDescent="0.25">
      <c r="A6" s="1" t="s">
        <v>4</v>
      </c>
      <c r="B6" t="s">
        <v>5</v>
      </c>
    </row>
    <row r="7" spans="1:5" x14ac:dyDescent="0.25">
      <c r="A7" s="1" t="s">
        <v>6</v>
      </c>
      <c r="B7" t="s">
        <v>7</v>
      </c>
    </row>
    <row r="8" spans="1:5" s="2" customFormat="1" ht="21.95" customHeight="1" x14ac:dyDescent="0.25">
      <c r="A8" s="11" t="s">
        <v>48</v>
      </c>
      <c r="B8" s="2" t="s">
        <v>8</v>
      </c>
      <c r="C8" s="2" t="s">
        <v>9</v>
      </c>
      <c r="D8" s="2" t="s">
        <v>10</v>
      </c>
      <c r="E8" s="2" t="s">
        <v>11</v>
      </c>
    </row>
    <row r="9" spans="1:5" x14ac:dyDescent="0.25">
      <c r="A9" s="12">
        <v>1</v>
      </c>
      <c r="B9" t="s">
        <v>12</v>
      </c>
      <c r="C9" s="3">
        <v>66</v>
      </c>
      <c r="D9" s="4">
        <f>C9*96</f>
        <v>6336</v>
      </c>
      <c r="E9" t="s">
        <v>13</v>
      </c>
    </row>
    <row r="10" spans="1:5" x14ac:dyDescent="0.25">
      <c r="A10" s="12">
        <v>2</v>
      </c>
      <c r="B10" t="s">
        <v>14</v>
      </c>
      <c r="C10" s="3">
        <v>190</v>
      </c>
      <c r="D10" s="4">
        <f t="shared" ref="D10:D15" si="0">C10*96</f>
        <v>18240</v>
      </c>
      <c r="E10" t="s">
        <v>15</v>
      </c>
    </row>
    <row r="11" spans="1:5" x14ac:dyDescent="0.25">
      <c r="A11" s="12">
        <v>3</v>
      </c>
      <c r="B11" t="s">
        <v>16</v>
      </c>
      <c r="C11" s="3">
        <v>13</v>
      </c>
      <c r="D11" s="4">
        <f t="shared" si="0"/>
        <v>1248</v>
      </c>
      <c r="E11" t="s">
        <v>17</v>
      </c>
    </row>
    <row r="12" spans="1:5" x14ac:dyDescent="0.25">
      <c r="A12" s="12">
        <v>4</v>
      </c>
      <c r="B12" t="s">
        <v>18</v>
      </c>
      <c r="C12" s="3">
        <v>28</v>
      </c>
      <c r="D12" s="4">
        <f t="shared" si="0"/>
        <v>2688</v>
      </c>
      <c r="E12" t="s">
        <v>19</v>
      </c>
    </row>
    <row r="13" spans="1:5" x14ac:dyDescent="0.25">
      <c r="A13" s="12">
        <v>5</v>
      </c>
      <c r="B13" t="s">
        <v>20</v>
      </c>
      <c r="C13" s="3">
        <v>8</v>
      </c>
      <c r="D13" s="4">
        <f t="shared" si="0"/>
        <v>768</v>
      </c>
      <c r="E13" t="s">
        <v>21</v>
      </c>
    </row>
    <row r="14" spans="1:5" x14ac:dyDescent="0.25">
      <c r="A14" s="12">
        <v>6</v>
      </c>
      <c r="B14" t="s">
        <v>22</v>
      </c>
      <c r="C14" s="3">
        <v>18</v>
      </c>
      <c r="D14" s="4">
        <f t="shared" si="0"/>
        <v>1728</v>
      </c>
      <c r="E14" t="s">
        <v>23</v>
      </c>
    </row>
    <row r="15" spans="1:5" x14ac:dyDescent="0.25">
      <c r="A15" s="12">
        <v>7</v>
      </c>
      <c r="B15" t="s">
        <v>24</v>
      </c>
      <c r="C15" s="3">
        <v>15</v>
      </c>
      <c r="D15" s="4">
        <f t="shared" si="0"/>
        <v>1440</v>
      </c>
      <c r="E15" t="s">
        <v>25</v>
      </c>
    </row>
    <row r="16" spans="1:5" s="5" customFormat="1" x14ac:dyDescent="0.25">
      <c r="A16" s="5" t="s">
        <v>26</v>
      </c>
      <c r="B16" s="5" t="s">
        <v>27</v>
      </c>
      <c r="C16" s="6">
        <v>338</v>
      </c>
      <c r="D16" s="7">
        <f>D9+D10+D11+D12+D13+D14+D15</f>
        <v>32448</v>
      </c>
      <c r="E16" s="5" t="s">
        <v>28</v>
      </c>
    </row>
    <row r="18" spans="1:1" x14ac:dyDescent="0.25">
      <c r="A18" s="1" t="s">
        <v>29</v>
      </c>
    </row>
    <row r="19" spans="1:1" x14ac:dyDescent="0.25">
      <c r="A19" t="s">
        <v>30</v>
      </c>
    </row>
    <row r="20" spans="1:1" x14ac:dyDescent="0.25">
      <c r="A20" t="s">
        <v>31</v>
      </c>
    </row>
    <row r="21" spans="1:1" x14ac:dyDescent="0.25">
      <c r="A21" t="s">
        <v>32</v>
      </c>
    </row>
    <row r="22" spans="1:1" x14ac:dyDescent="0.25">
      <c r="A22" t="s">
        <v>33</v>
      </c>
    </row>
    <row r="24" spans="1:1" x14ac:dyDescent="0.25">
      <c r="A24" s="1" t="s">
        <v>34</v>
      </c>
    </row>
    <row r="25" spans="1:1" x14ac:dyDescent="0.25">
      <c r="A25" t="s">
        <v>47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workbookViewId="0"/>
  </sheetViews>
  <sheetFormatPr defaultRowHeight="15" x14ac:dyDescent="0.25"/>
  <cols>
    <col min="1" max="1" width="90" customWidth="1"/>
  </cols>
  <sheetData>
    <row r="1" spans="1:1" ht="15.75" x14ac:dyDescent="0.25">
      <c r="A1" s="8" t="s">
        <v>35</v>
      </c>
    </row>
    <row r="2" spans="1:1" x14ac:dyDescent="0.25">
      <c r="A2" t="s">
        <v>26</v>
      </c>
    </row>
    <row r="3" spans="1:1" x14ac:dyDescent="0.25">
      <c r="A3" t="s">
        <v>36</v>
      </c>
    </row>
    <row r="4" spans="1:1" x14ac:dyDescent="0.25">
      <c r="A4" t="s">
        <v>37</v>
      </c>
    </row>
    <row r="5" spans="1:1" x14ac:dyDescent="0.25">
      <c r="A5" t="s">
        <v>38</v>
      </c>
    </row>
    <row r="6" spans="1:1" x14ac:dyDescent="0.25">
      <c r="A6" t="s">
        <v>39</v>
      </c>
    </row>
    <row r="7" spans="1:1" x14ac:dyDescent="0.25">
      <c r="A7" t="s">
        <v>40</v>
      </c>
    </row>
    <row r="8" spans="1:1" x14ac:dyDescent="0.25">
      <c r="A8" t="s">
        <v>41</v>
      </c>
    </row>
    <row r="9" spans="1:1" x14ac:dyDescent="0.25">
      <c r="A9" t="s">
        <v>26</v>
      </c>
    </row>
    <row r="10" spans="1:1" x14ac:dyDescent="0.25">
      <c r="A10" t="s">
        <v>42</v>
      </c>
    </row>
    <row r="11" spans="1:1" x14ac:dyDescent="0.25">
      <c r="A11" t="s">
        <v>43</v>
      </c>
    </row>
    <row r="12" spans="1:1" x14ac:dyDescent="0.25">
      <c r="A12" t="s">
        <v>26</v>
      </c>
    </row>
    <row r="13" spans="1:1" x14ac:dyDescent="0.25">
      <c r="A13" t="s">
        <v>44</v>
      </c>
    </row>
    <row r="14" spans="1:1" x14ac:dyDescent="0.25">
      <c r="A14" t="s">
        <v>45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On-Demand</vt:lpstr>
      <vt:lpstr>Assumptions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2026-05-26T05:29:53Z</dcterms:created>
  <dcterms:modified xsi:type="dcterms:W3CDTF">2026-05-26T05:37:43Z</dcterms:modified>
  <cp:category/>
</cp:coreProperties>
</file>