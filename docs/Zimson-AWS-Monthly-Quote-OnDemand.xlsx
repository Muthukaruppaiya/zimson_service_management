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Monthly On-Demand" state="visible" r:id="rId5"/>
    <sheet sheetId="3" name="Architecture" state="visible" r:id="rId6"/>
    <sheet sheetId="4" name="EC2 Sizing" state="visible" r:id="rId7"/>
    <sheet sheetId="5" name="Design Comparison" state="visible" r:id="rId8"/>
    <sheet sheetId="6" name="Assumptions" state="visible" r:id="rId9"/>
    <sheet sheetId="7" name="Excluded Items" state="visible" r:id="rId10"/>
    <sheet sheetId="8" name="Production Env" state="visible" r:id="rId11"/>
    <sheet sheetId="9" name="Deploy Checklist" state="visible" r:id="rId12"/>
    <sheet sheetId="10" name="Monitoring" state="visible" r:id="rId13"/>
  </sheets>
  <calcPr calcId="171027"/>
</workbook>
</file>

<file path=xl/sharedStrings.xml><?xml version="1.0" encoding="utf-8"?>
<sst xmlns="http://schemas.openxmlformats.org/spreadsheetml/2006/main" count="276" uniqueCount="233">
  <si>
    <t>Zimson Service Management — AWS Hosting (Complete Summary)</t>
  </si>
  <si>
    <t>Stores</t>
  </si>
  <si>
    <t>75 retail/service locations</t>
  </si>
  <si>
    <t>Region</t>
  </si>
  <si>
    <t>ap-south-1 (Mumbai)</t>
  </si>
  <si>
    <t>Pricing model</t>
  </si>
  <si>
    <t>On-demand (pay as you go)</t>
  </si>
  <si>
    <t>FX rate used</t>
  </si>
  <si>
    <t>₹96 per USD</t>
  </si>
  <si>
    <t>Quote date</t>
  </si>
  <si>
    <t>2026-05-26</t>
  </si>
  <si>
    <t>Monthly cost (selected design)</t>
  </si>
  <si>
    <t/>
  </si>
  <si>
    <t>Line item</t>
  </si>
  <si>
    <t>USD</t>
  </si>
  <si>
    <t>INR</t>
  </si>
  <si>
    <t>EC2 application server (1 × t4g.xlarge, 4 vCPU, 16 GB)</t>
  </si>
  <si>
    <t>RDS PostgreSQL (db.t4g.large, Single-AZ)</t>
  </si>
  <si>
    <t>RDS storage (100 GB gp3)</t>
  </si>
  <si>
    <t>Elastic IP + HTTPS on EC2 (no load balancer)</t>
  </si>
  <si>
    <t>EBS volume (1 × 80 GB gp3, app server)</t>
  </si>
  <si>
    <t>Amazon S3 (≈220 GB + requests)</t>
  </si>
  <si>
    <t>Data transfer &amp; miscellaneous</t>
  </si>
  <si>
    <t>TOTAL per month</t>
  </si>
  <si>
    <t>Package at a glance</t>
  </si>
  <si>
    <t>EC2</t>
  </si>
  <si>
    <t>1 × t4g.xlarge (4 vCPU, 16 GB RAM) — single application server</t>
  </si>
  <si>
    <t>Database</t>
  </si>
  <si>
    <t>Amazon RDS PostgreSQL db.t4g.large, Single-AZ, 100 GB gp3</t>
  </si>
  <si>
    <t>Load balancer</t>
  </si>
  <si>
    <t>None — Elastic IP + Nginx HTTPS on EC2</t>
  </si>
  <si>
    <t>Object storage</t>
  </si>
  <si>
    <t>Amazon S3 private bucket (SRF photos, Quick Bill document/image)</t>
  </si>
  <si>
    <t>App stack</t>
  </si>
  <si>
    <t>Node.js + Express API, React SPA (built to dist/), PostgreSQL on RDS</t>
  </si>
  <si>
    <t>Sheet index (this workbook)</t>
  </si>
  <si>
    <t>Summary — this page</t>
  </si>
  <si>
    <t>Monthly On-Demand — detailed quote with formulas</t>
  </si>
  <si>
    <t>Architecture — components and roles</t>
  </si>
  <si>
    <t>EC2 Sizing — instance comparison</t>
  </si>
  <si>
    <t>Design Comparison — old HA vs current</t>
  </si>
  <si>
    <t>Assumptions — scope and upgrade path</t>
  </si>
  <si>
    <t>Excluded Items — not in AWS bill</t>
  </si>
  <si>
    <t>Production Env — key environment variables</t>
  </si>
  <si>
    <t>Deploy Checklist — go-live steps</t>
  </si>
  <si>
    <t>Monitoring — thresholds and actions</t>
  </si>
  <si>
    <t>Zimson Service Management — AWS Monthly Quote (On-Demand)</t>
  </si>
  <si>
    <t>Scope: 75 stores | ap-south-1 (Mumbai) | FX ₹96/USD | 1× EC2 t4g.xlarge | RDS Single-AZ | No ALB</t>
  </si>
  <si>
    <t>Package summary</t>
  </si>
  <si>
    <t>SL No</t>
  </si>
  <si>
    <t>Monthly (USD)</t>
  </si>
  <si>
    <t>Monthly (INR)</t>
  </si>
  <si>
    <t>Notes</t>
  </si>
  <si>
    <t>Single server; Node API + React SPA (Nginx); headroom for PDF peaks</t>
  </si>
  <si>
    <t>One zone; automated backups + manual snapshots recommended</t>
  </si>
  <si>
    <t>Customers, SRF, inventory, quick bills</t>
  </si>
  <si>
    <t>Let's Encrypt or ACM on Nginx; DNS A-record → Elastic IP</t>
  </si>
  <si>
    <t>OS + app; user uploads on S3 when integrated</t>
  </si>
  <si>
    <t>srf/ + quick-bill/ prefixes; ~1.4 GB/day across 75 stores</t>
  </si>
  <si>
    <t>In-region; light internet egress</t>
  </si>
  <si>
    <t>TOTAL (monthly estimate)</t>
  </si>
  <si>
    <t>Rounded ~$260 / ₹24960</t>
  </si>
  <si>
    <t>Excluded from this quote</t>
  </si>
  <si>
    <t>• SMS (Qikberry) — billed by provider</t>
  </si>
  <si>
    <t>• WhatsApp (Qikchat) — billed by provider</t>
  </si>
  <si>
    <t>• SMTP email (Gmail / corporate) — often free tier or separate</t>
  </si>
  <si>
    <t>• Domain registration (Route 53 / registrar)</t>
  </si>
  <si>
    <t>• Application development &amp; S3 code integration</t>
  </si>
  <si>
    <t>• AWS Business Support (~10% of AWS bill, optional)</t>
  </si>
  <si>
    <t>• Third-party GST lookup APIs (Sandbox / Explorium)</t>
  </si>
  <si>
    <t>S3 storage assumption</t>
  </si>
  <si>
    <t>~1.4 GB new uploads/day across 75 stores; ~220 GB stored on average in year 1.</t>
  </si>
  <si>
    <t>Reserved Instances (1-year) can reduce EC2 + RDS cost ~25–35% (not applied here).</t>
  </si>
  <si>
    <t>Layer</t>
  </si>
  <si>
    <t>AWS service</t>
  </si>
  <si>
    <t>Specification</t>
  </si>
  <si>
    <t>Role</t>
  </si>
  <si>
    <t>Users (stores)</t>
  </si>
  <si>
    <t>Internet</t>
  </si>
  <si>
    <t>75 locations, ~95–180 peak concurrent</t>
  </si>
  <si>
    <t>HTTPS to EC2</t>
  </si>
  <si>
    <t>Web + API</t>
  </si>
  <si>
    <t>EC2 t4g.xlarge</t>
  </si>
  <si>
    <t>4 vCPU, 16 GB, Amazon Linux 2023</t>
  </si>
  <si>
    <t>Nginx → static SPA + proxy /api</t>
  </si>
  <si>
    <t>Application</t>
  </si>
  <si>
    <t>Node.js (PM2)</t>
  </si>
  <si>
    <t>1–2 workers on EC2</t>
  </si>
  <si>
    <t>Zimson Service Management API</t>
  </si>
  <si>
    <t>RDS PostgreSQL</t>
  </si>
  <si>
    <t>db.t4g.large Single-AZ, 100 GB</t>
  </si>
  <si>
    <t>All transactional data</t>
  </si>
  <si>
    <t>Files / images</t>
  </si>
  <si>
    <t>S3</t>
  </si>
  <si>
    <t>~220 GB year-1 (private)</t>
  </si>
  <si>
    <t>SRF capture, Quick Bill uploads</t>
  </si>
  <si>
    <t>DNS / TLS</t>
  </si>
  <si>
    <t>Route 53 + EIP</t>
  </si>
  <si>
    <t>No ALB</t>
  </si>
  <si>
    <t>A record → Elastic IP; cert on Nginx</t>
  </si>
  <si>
    <t>Backups</t>
  </si>
  <si>
    <t>RDS snapshots + S3 lifecycle</t>
  </si>
  <si>
    <t>Daily automated</t>
  </si>
  <si>
    <t>Point-in-time recovery (RDS)</t>
  </si>
  <si>
    <t>Instance</t>
  </si>
  <si>
    <t>vCPU</t>
  </si>
  <si>
    <t>RAM</t>
  </si>
  <si>
    <t>Monthly USD (est.)</t>
  </si>
  <si>
    <t>Monthly INR (est.)</t>
  </si>
  <si>
    <t>Fit for 75 stores?</t>
  </si>
  <si>
    <t>t4g.medium</t>
  </si>
  <si>
    <t>4 GB</t>
  </si>
  <si>
    <t>Pilot only (10–20 stores)</t>
  </si>
  <si>
    <t>t4g.large</t>
  </si>
  <si>
    <t>8 GB</t>
  </si>
  <si>
    <t>Possible but tight at peak</t>
  </si>
  <si>
    <t>t4g.xlarge</t>
  </si>
  <si>
    <t>16 GB</t>
  </si>
  <si>
    <t>Selected — recommended</t>
  </si>
  <si>
    <t>t4g.2xlarge</t>
  </si>
  <si>
    <t>32 GB</t>
  </si>
  <si>
    <t>Only if monitoring shows sustained overload</t>
  </si>
  <si>
    <t>Item</t>
  </si>
  <si>
    <t>Previous (HA) design</t>
  </si>
  <si>
    <t>Current design (approved)</t>
  </si>
  <si>
    <t>~80</t>
  </si>
  <si>
    <t>~75</t>
  </si>
  <si>
    <t>2 × t4g.large</t>
  </si>
  <si>
    <t>1 × t4g.xlarge</t>
  </si>
  <si>
    <t>RDS</t>
  </si>
  <si>
    <t>db.t4g.large Multi-AZ</t>
  </si>
  <si>
    <t>db.t4g.large Single-AZ</t>
  </si>
  <si>
    <t>ALB + ACM</t>
  </si>
  <si>
    <t>None</t>
  </si>
  <si>
    <t>Monthly total (est.)</t>
  </si>
  <si>
    <t>~$338 / ~₹28,700</t>
  </si>
  <si>
    <t>~$260 / ~₹24960</t>
  </si>
  <si>
    <t>High availability</t>
  </si>
  <si>
    <t>Yes (2 EC2 + Multi-AZ DB)</t>
  </si>
  <si>
    <t>No — single server; planned maintenance window on deploy</t>
  </si>
  <si>
    <t>When to upgrade</t>
  </si>
  <si>
    <t>—</t>
  </si>
  <si>
    <t>2× EC2 + ALB + Multi-AZ RDS if &gt;150 concurrent or zero-downtime required</t>
  </si>
  <si>
    <t>Zimson AWS Hosting — Assumptions</t>
  </si>
  <si>
    <t>Stores: ~75 retail/service locations</t>
  </si>
  <si>
    <t>Concurrent users (peak): ~95–180</t>
  </si>
  <si>
    <t>Region: ap-south-1 (Mumbai)</t>
  </si>
  <si>
    <t>Application: Node.js + Express API, React SPA on same EC2 (Nginx reverse proxy)</t>
  </si>
  <si>
    <t>Database: Amazon RDS for PostgreSQL — NOT on EC2</t>
  </si>
  <si>
    <t>Files: Amazon S3 for SRF photos and Quick Bill document/image (recommended at go-live)</t>
  </si>
  <si>
    <t>EC2: 1 × t4g.xlarge (4 vCPU, 16 GB RAM) — selected for PDF generation and peak counter load</t>
  </si>
  <si>
    <t>RDS: db.t4g.large Single-AZ (2 vCPU, 8 GB) — one availability zone is sufficient</t>
  </si>
  <si>
    <t>No Application Load Balancer — DNS points to Elastic IP; HTTPS terminated on Nginx</t>
  </si>
  <si>
    <t>Single-server trade-off: brief downtime possible during app deploy or EC2 reboot</t>
  </si>
  <si>
    <t>Mitigation: deploy in low-traffic window; RDS backups; S3 versioning optional</t>
  </si>
  <si>
    <t>Upgrade path when needed:</t>
  </si>
  <si>
    <t>• Add second EC2 + ALB for high availability</t>
  </si>
  <si>
    <t>• RDS Multi-AZ for automatic database failover</t>
  </si>
  <si>
    <t>• CloudFront optional for static assets (not costed here)</t>
  </si>
  <si>
    <t>Pilot option (not this quote): 1 × t4g.medium + db.t4g.medium Single-AZ ≈ ₹11,000–13,500/month for 10–20 stores</t>
  </si>
  <si>
    <t>Excluded from AWS monthly estimate</t>
  </si>
  <si>
    <t>Variable</t>
  </si>
  <si>
    <t>Example / notes</t>
  </si>
  <si>
    <t>Required</t>
  </si>
  <si>
    <t>DATABASE_URL</t>
  </si>
  <si>
    <t>postgresql://user:pass@rds-endpoint:5432/zimson</t>
  </si>
  <si>
    <t>Yes</t>
  </si>
  <si>
    <t>NODE_ENV</t>
  </si>
  <si>
    <t>production</t>
  </si>
  <si>
    <t>PORT</t>
  </si>
  <si>
    <t>4000 (Nginx proxies 443 → 4000)</t>
  </si>
  <si>
    <t>APP_BASE_URL</t>
  </si>
  <si>
    <t>https://service.zimson.in</t>
  </si>
  <si>
    <t>Yes — customer links, password reset</t>
  </si>
  <si>
    <t>MESSAGING_PUBLIC_BASE_URL</t>
  </si>
  <si>
    <t>https://api.zimson.in (same host or API subdomain)</t>
  </si>
  <si>
    <t>Yes for WhatsApp PDF</t>
  </si>
  <si>
    <t>SMTP_HOST / SMTP_USER / SMTP_PASSWORD</t>
  </si>
  <si>
    <t>Or configure in app Settings UI</t>
  </si>
  <si>
    <t>Yes for email OTP / forgot password</t>
  </si>
  <si>
    <t>QIKBERRY_* / QIKCHAT_*</t>
  </si>
  <si>
    <t>SMS &amp; WhatsApp keys</t>
  </si>
  <si>
    <t>Per feature</t>
  </si>
  <si>
    <t>Step</t>
  </si>
  <si>
    <t>Task</t>
  </si>
  <si>
    <t>Owner</t>
  </si>
  <si>
    <t>1</t>
  </si>
  <si>
    <t>Create VPC, security groups (443, 22 from office IP only)</t>
  </si>
  <si>
    <t>IT</t>
  </si>
  <si>
    <t>2</t>
  </si>
  <si>
    <t>Launch EC2 t4g.xlarge, attach 80 GB gp3, Elastic IP</t>
  </si>
  <si>
    <t>3</t>
  </si>
  <si>
    <t>Create RDS db.t4g.large Single-AZ PostgreSQL 100 GB</t>
  </si>
  <si>
    <t>4</t>
  </si>
  <si>
    <t>Create S3 bucket (private), IAM role on EC2 for PutObject/GetObject</t>
  </si>
  <si>
    <t>5</t>
  </si>
  <si>
    <t>Install Node 20+, Nginx, PM2; clone app; npm run build</t>
  </si>
  <si>
    <t>Dev/IT</t>
  </si>
  <si>
    <t>6</t>
  </si>
  <si>
    <t>Set .env; run migrations; seed super admin</t>
  </si>
  <si>
    <t>Dev</t>
  </si>
  <si>
    <t>7</t>
  </si>
  <si>
    <t>Nginx: serve dist/ + proxy /api; TLS certificate</t>
  </si>
  <si>
    <t>8</t>
  </si>
  <si>
    <t>Configure messaging in Settings (SMTP, Qikberry, Qikchat)</t>
  </si>
  <si>
    <t>Super admin</t>
  </si>
  <si>
    <t>9</t>
  </si>
  <si>
    <t>CloudWatch alarms: CPU &gt;70%, disk &gt;80%, RDS connections</t>
  </si>
  <si>
    <t>10</t>
  </si>
  <si>
    <t>RDS automated backups 7–35 days; test restore once</t>
  </si>
  <si>
    <t>11</t>
  </si>
  <si>
    <t>UAT with 2–3 pilot stores before all 75 stores</t>
  </si>
  <si>
    <t>Business</t>
  </si>
  <si>
    <t>Metric</t>
  </si>
  <si>
    <t>Warning threshold</t>
  </si>
  <si>
    <t>Action</t>
  </si>
  <si>
    <t>EC2 CPU (avg 5 min)</t>
  </si>
  <si>
    <t>&gt; 70% for 15 min</t>
  </si>
  <si>
    <t>Check PDF/upload load; consider scale up</t>
  </si>
  <si>
    <t>EC2 memory</t>
  </si>
  <si>
    <t>&gt; 80%</t>
  </si>
  <si>
    <t>Restart PM2; check memory leaks; consider t4g.2xlarge</t>
  </si>
  <si>
    <t>EC2 disk (EBS)</t>
  </si>
  <si>
    <t>Move uploads to S3; expand volume</t>
  </si>
  <si>
    <t>RDS CPU</t>
  </si>
  <si>
    <t>&gt; 70%</t>
  </si>
  <si>
    <t>Slow query review; consider read replica later</t>
  </si>
  <si>
    <t>RDS storage</t>
  </si>
  <si>
    <t>&gt; 80% of 100 GB</t>
  </si>
  <si>
    <t>Increase allocated storage</t>
  </si>
  <si>
    <t>API response time</t>
  </si>
  <si>
    <t>p95 &gt; 3s</t>
  </si>
  <si>
    <t>Profile Node; index PostgreSQL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</si>
</sst>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"/>
    <numFmt numFmtId="165" formatCode="&quot;₹&quot;#,##0"/>
  </numFmts>
  <fonts count="6" x14ac:knownFonts="1">
    <font>
      <color theme="1"/>
      <family val="2"/>
      <scheme val="minor"/>
      <sz val="11"/>
      <name val="Calibri"/>
    </font>
    <font>
      <b/>
      <color rgb="FF1B3A8F"/>
      <sz val="14"/>
    </font>
    <font>
      <b/>
    </font>
    <font>
      <b/>
      <sz val="12"/>
    </font>
    <font>
      <b/>
      <color rgb="FFC9A227"/>
      <sz val="11"/>
    </font>
    <font>
      <i/>
      <sz val="10"/>
    </font>
  </fonts>
  <fills count="4">
    <fill>
      <patternFill patternType="none"/>
    </fill>
    <fill>
      <patternFill patternType="gray125"/>
    </fill>
    <fill>
      <patternFill patternType="solid">
        <fgColor rgb="FF1B3A8F"/>
      </patternFill>
    </fill>
    <fill>
      <patternFill patternType="solid">
        <fgColor rgb="FFE8F0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0" fontId="2" fillId="3" borderId="0" xfId="0" applyFont="1" applyFill="1"/>
    <xf numFmtId="164" fontId="2" fillId="3" borderId="0" xfId="0" applyNumberFormat="1" applyFont="1" applyFill="1"/>
    <xf numFmtId="165" fontId="2" fillId="3" borderId="0" xfId="0" applyNumberFormat="1" applyFont="1" applyFill="1"/>
    <xf numFmtId="0" fontId="5" fillId="0" borderId="0" xfId="0" applyFo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A227"/>
  </sheetPr>
  <dimension ref="A1:D37"/>
  <sheetFormatPr defaultRowHeight="15" outlineLevelRow="0" outlineLevelCol="0" x14ac:dyDescent="55"/>
  <cols>
    <col min="1" max="1" width="22" customWidth="1"/>
    <col min="2" max="2" width="58" customWidth="1"/>
    <col min="3" max="4" width="16" customWidth="1"/>
  </cols>
  <sheetData>
    <row r="1" ht="28" customHeight="1" spans="1:4" x14ac:dyDescent="0.25">
      <c r="A1" s="1" t="s">
        <v>0</v>
      </c>
      <c r="B1" s="1"/>
      <c r="C1" s="1"/>
      <c r="D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5" spans="1:2" x14ac:dyDescent="0.25">
      <c r="A5" s="2" t="s">
        <v>5</v>
      </c>
      <c r="B5" t="s">
        <v>6</v>
      </c>
    </row>
    <row r="6" spans="1:2" x14ac:dyDescent="0.25">
      <c r="A6" s="2" t="s">
        <v>7</v>
      </c>
      <c r="B6" t="s">
        <v>8</v>
      </c>
    </row>
    <row r="7" spans="1:2" x14ac:dyDescent="0.25">
      <c r="A7" s="2" t="s">
        <v>9</v>
      </c>
      <c r="B7" t="s">
        <v>10</v>
      </c>
    </row>
    <row r="9" spans="1:1" x14ac:dyDescent="0.25">
      <c r="A9" s="3" t="s">
        <v>11</v>
      </c>
    </row>
    <row r="10" ht="22" customHeight="1" spans="1:4" x14ac:dyDescent="0.25">
      <c r="A10" s="4" t="s">
        <v>12</v>
      </c>
      <c r="B10" s="4" t="s">
        <v>13</v>
      </c>
      <c r="C10" s="4" t="s">
        <v>14</v>
      </c>
      <c r="D10" s="4" t="s">
        <v>15</v>
      </c>
    </row>
    <row r="11" spans="2:4" x14ac:dyDescent="0.25">
      <c r="B11" t="s">
        <v>16</v>
      </c>
      <c r="C11" s="5">
        <v>118</v>
      </c>
      <c r="D11" s="6">
        <v>11328</v>
      </c>
    </row>
    <row r="12" spans="2:4" x14ac:dyDescent="0.25">
      <c r="B12" t="s">
        <v>17</v>
      </c>
      <c r="C12" s="5">
        <v>96</v>
      </c>
      <c r="D12" s="6">
        <v>9216</v>
      </c>
    </row>
    <row r="13" spans="2:4" x14ac:dyDescent="0.25">
      <c r="B13" t="s">
        <v>18</v>
      </c>
      <c r="C13" s="5">
        <v>12</v>
      </c>
      <c r="D13" s="6">
        <v>1152</v>
      </c>
    </row>
    <row r="14" spans="2:4" x14ac:dyDescent="0.25">
      <c r="B14" t="s">
        <v>19</v>
      </c>
      <c r="C14" s="5">
        <v>4</v>
      </c>
      <c r="D14" s="6">
        <v>384</v>
      </c>
    </row>
    <row r="15" spans="2:4" x14ac:dyDescent="0.25">
      <c r="B15" t="s">
        <v>20</v>
      </c>
      <c r="C15" s="5">
        <v>6</v>
      </c>
      <c r="D15" s="6">
        <v>576</v>
      </c>
    </row>
    <row r="16" spans="2:4" x14ac:dyDescent="0.25">
      <c r="B16" t="s">
        <v>21</v>
      </c>
      <c r="C16" s="5">
        <v>14</v>
      </c>
      <c r="D16" s="6">
        <v>1344</v>
      </c>
    </row>
    <row r="17" spans="2:4" x14ac:dyDescent="0.25">
      <c r="B17" t="s">
        <v>22</v>
      </c>
      <c r="C17" s="5">
        <v>10</v>
      </c>
      <c r="D17" s="6">
        <v>960</v>
      </c>
    </row>
    <row r="18" spans="2:4" x14ac:dyDescent="0.25">
      <c r="B18" s="7" t="s">
        <v>23</v>
      </c>
      <c r="C18" s="8">
        <v>260</v>
      </c>
      <c r="D18" s="9">
        <v>24960</v>
      </c>
    </row>
    <row r="20" spans="1:1" x14ac:dyDescent="0.25">
      <c r="A20" s="3" t="s">
        <v>24</v>
      </c>
    </row>
    <row r="21" spans="1:2" x14ac:dyDescent="0.25">
      <c r="A21" s="2" t="s">
        <v>25</v>
      </c>
      <c r="B21" t="s">
        <v>26</v>
      </c>
    </row>
    <row r="22" spans="1:2" x14ac:dyDescent="0.25">
      <c r="A22" s="2" t="s">
        <v>27</v>
      </c>
      <c r="B22" t="s">
        <v>28</v>
      </c>
    </row>
    <row r="23" spans="1:2" x14ac:dyDescent="0.25">
      <c r="A23" s="2" t="s">
        <v>29</v>
      </c>
      <c r="B23" t="s">
        <v>30</v>
      </c>
    </row>
    <row r="24" spans="1:2" x14ac:dyDescent="0.25">
      <c r="A24" s="2" t="s">
        <v>31</v>
      </c>
      <c r="B24" t="s">
        <v>32</v>
      </c>
    </row>
    <row r="25" spans="1:2" x14ac:dyDescent="0.25">
      <c r="A25" s="2" t="s">
        <v>33</v>
      </c>
      <c r="B25" t="s">
        <v>34</v>
      </c>
    </row>
    <row r="27" spans="1:1" x14ac:dyDescent="0.25">
      <c r="A27" s="2" t="s">
        <v>35</v>
      </c>
    </row>
    <row r="28" spans="1:1" x14ac:dyDescent="0.25">
      <c r="A28" t="s">
        <v>36</v>
      </c>
    </row>
    <row r="29" spans="1:1" x14ac:dyDescent="0.25">
      <c r="A29" t="s">
        <v>37</v>
      </c>
    </row>
    <row r="30" spans="1:1" x14ac:dyDescent="0.25">
      <c r="A30" t="s">
        <v>38</v>
      </c>
    </row>
    <row r="31" spans="1:1" x14ac:dyDescent="0.25">
      <c r="A31" t="s">
        <v>39</v>
      </c>
    </row>
    <row r="32" spans="1:1" x14ac:dyDescent="0.25">
      <c r="A32" t="s">
        <v>40</v>
      </c>
    </row>
    <row r="33" spans="1:1" x14ac:dyDescent="0.25">
      <c r="A33" t="s">
        <v>41</v>
      </c>
    </row>
    <row r="34" spans="1:1" x14ac:dyDescent="0.25">
      <c r="A34" t="s">
        <v>42</v>
      </c>
    </row>
    <row r="35" spans="1:1" x14ac:dyDescent="0.25">
      <c r="A35" t="s">
        <v>43</v>
      </c>
    </row>
    <row r="36" spans="1:1" x14ac:dyDescent="0.25">
      <c r="A36" t="s">
        <v>44</v>
      </c>
    </row>
    <row r="37" spans="1:1" x14ac:dyDescent="0.25">
      <c r="A37" t="s">
        <v>45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"/>
  <sheetViews>
    <sheetView workbookViewId="0">
      <pane ySplit="10" topLeftCell="A11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52" customWidth="1"/>
    <col min="3" max="4" width="14" customWidth="1"/>
    <col min="5" max="5" width="48" customWidth="1"/>
  </cols>
  <sheetData>
    <row r="1" ht="28" customHeight="1" spans="1:5" x14ac:dyDescent="0.25">
      <c r="A1" s="1" t="s">
        <v>46</v>
      </c>
      <c r="B1" s="1"/>
      <c r="C1" s="1"/>
      <c r="D1" s="1"/>
      <c r="E1" s="1"/>
    </row>
    <row r="2" spans="1:5" x14ac:dyDescent="0.25">
      <c r="A2" s="10" t="s">
        <v>47</v>
      </c>
      <c r="B2" s="10"/>
      <c r="C2" s="10"/>
      <c r="D2" s="10"/>
      <c r="E2" s="10"/>
    </row>
    <row r="4" spans="1:1" x14ac:dyDescent="0.25">
      <c r="A4" s="3" t="s">
        <v>48</v>
      </c>
    </row>
    <row r="5" spans="1:2" x14ac:dyDescent="0.25">
      <c r="A5" s="2" t="s">
        <v>25</v>
      </c>
      <c r="B5" t="s">
        <v>26</v>
      </c>
    </row>
    <row r="6" spans="1:2" x14ac:dyDescent="0.25">
      <c r="A6" s="2" t="s">
        <v>27</v>
      </c>
      <c r="B6" t="s">
        <v>28</v>
      </c>
    </row>
    <row r="7" spans="1:2" x14ac:dyDescent="0.25">
      <c r="A7" s="2" t="s">
        <v>29</v>
      </c>
      <c r="B7" t="s">
        <v>30</v>
      </c>
    </row>
    <row r="8" spans="1:2" x14ac:dyDescent="0.25">
      <c r="A8" s="2" t="s">
        <v>31</v>
      </c>
      <c r="B8" t="s">
        <v>32</v>
      </c>
    </row>
    <row r="9" spans="1:2" x14ac:dyDescent="0.25">
      <c r="A9" s="2" t="s">
        <v>33</v>
      </c>
      <c r="B9" t="s">
        <v>34</v>
      </c>
    </row>
    <row r="10" ht="22" customHeight="1" spans="1:5" x14ac:dyDescent="0.25">
      <c r="A10" s="4" t="s">
        <v>49</v>
      </c>
      <c r="B10" s="4" t="s">
        <v>13</v>
      </c>
      <c r="C10" s="4" t="s">
        <v>50</v>
      </c>
      <c r="D10" s="4" t="s">
        <v>51</v>
      </c>
      <c r="E10" s="4" t="s">
        <v>52</v>
      </c>
    </row>
    <row r="11" spans="1:5" x14ac:dyDescent="0.25">
      <c r="A11">
        <v>1</v>
      </c>
      <c r="B11" t="s">
        <v>16</v>
      </c>
      <c r="C11" s="5">
        <v>118</v>
      </c>
      <c r="D11" s="6">
        <f>C11*96</f>
      </c>
      <c r="E11" t="s">
        <v>53</v>
      </c>
    </row>
    <row r="12" spans="1:5" x14ac:dyDescent="0.25">
      <c r="A12">
        <v>2</v>
      </c>
      <c r="B12" t="s">
        <v>17</v>
      </c>
      <c r="C12" s="5">
        <v>96</v>
      </c>
      <c r="D12" s="6">
        <f>C12*96</f>
      </c>
      <c r="E12" t="s">
        <v>54</v>
      </c>
    </row>
    <row r="13" spans="1:5" x14ac:dyDescent="0.25">
      <c r="A13">
        <v>3</v>
      </c>
      <c r="B13" t="s">
        <v>18</v>
      </c>
      <c r="C13" s="5">
        <v>12</v>
      </c>
      <c r="D13" s="6">
        <f>C13*96</f>
      </c>
      <c r="E13" t="s">
        <v>55</v>
      </c>
    </row>
    <row r="14" spans="1:5" x14ac:dyDescent="0.25">
      <c r="A14">
        <v>4</v>
      </c>
      <c r="B14" t="s">
        <v>19</v>
      </c>
      <c r="C14" s="5">
        <v>4</v>
      </c>
      <c r="D14" s="6">
        <f>C14*96</f>
      </c>
      <c r="E14" t="s">
        <v>56</v>
      </c>
    </row>
    <row r="15" spans="1:5" x14ac:dyDescent="0.25">
      <c r="A15">
        <v>5</v>
      </c>
      <c r="B15" t="s">
        <v>20</v>
      </c>
      <c r="C15" s="5">
        <v>6</v>
      </c>
      <c r="D15" s="6">
        <f>C15*96</f>
      </c>
      <c r="E15" t="s">
        <v>57</v>
      </c>
    </row>
    <row r="16" spans="1:5" x14ac:dyDescent="0.25">
      <c r="A16">
        <v>6</v>
      </c>
      <c r="B16" t="s">
        <v>21</v>
      </c>
      <c r="C16" s="5">
        <v>14</v>
      </c>
      <c r="D16" s="6">
        <f>C16*96</f>
      </c>
      <c r="E16" t="s">
        <v>58</v>
      </c>
    </row>
    <row r="17" spans="1:5" x14ac:dyDescent="0.25">
      <c r="A17">
        <v>7</v>
      </c>
      <c r="B17" t="s">
        <v>22</v>
      </c>
      <c r="C17" s="5">
        <v>10</v>
      </c>
      <c r="D17" s="6">
        <f>C17*96</f>
      </c>
      <c r="E17" t="s">
        <v>59</v>
      </c>
    </row>
    <row r="18" spans="2:5" x14ac:dyDescent="0.25">
      <c r="B18" s="7" t="s">
        <v>60</v>
      </c>
      <c r="C18" s="8">
        <f>SUM(C11:C17)</f>
      </c>
      <c r="D18" s="9">
        <f>SUM(D11:D17)</f>
      </c>
      <c r="E18" s="11" t="s">
        <v>61</v>
      </c>
    </row>
    <row r="20" spans="1:1" x14ac:dyDescent="0.25">
      <c r="A20" s="2" t="s">
        <v>62</v>
      </c>
    </row>
    <row r="21" spans="1:1" x14ac:dyDescent="0.25">
      <c r="A21" t="s">
        <v>63</v>
      </c>
    </row>
    <row r="22" spans="1:1" x14ac:dyDescent="0.25">
      <c r="A22" t="s">
        <v>64</v>
      </c>
    </row>
    <row r="23" spans="1:1" x14ac:dyDescent="0.25">
      <c r="A23" t="s">
        <v>65</v>
      </c>
    </row>
    <row r="24" spans="1:1" x14ac:dyDescent="0.25">
      <c r="A24" t="s">
        <v>66</v>
      </c>
    </row>
    <row r="25" spans="1:1" x14ac:dyDescent="0.25">
      <c r="A25" t="s">
        <v>67</v>
      </c>
    </row>
    <row r="26" spans="1:1" x14ac:dyDescent="0.25">
      <c r="A26" t="s">
        <v>68</v>
      </c>
    </row>
    <row r="27" spans="1:1" x14ac:dyDescent="0.25">
      <c r="A27" t="s">
        <v>69</v>
      </c>
    </row>
    <row r="29" spans="1:1" x14ac:dyDescent="0.25">
      <c r="A29" s="2" t="s">
        <v>70</v>
      </c>
    </row>
    <row r="30" spans="1:1" x14ac:dyDescent="0.25">
      <c r="A30" t="s">
        <v>71</v>
      </c>
    </row>
    <row r="31" spans="1:1" x14ac:dyDescent="0.25">
      <c r="A31" t="s">
        <v>72</v>
      </c>
    </row>
  </sheetData>
  <mergeCells count="2">
    <mergeCell ref="A1:E1"/>
    <mergeCell ref="A2:E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FormatPr defaultRowHeight="15" outlineLevelRow="0" outlineLevelCol="0" x14ac:dyDescent="55"/>
  <cols>
    <col min="1" max="1" width="14" customWidth="1"/>
    <col min="2" max="2" width="18" customWidth="1"/>
    <col min="3" max="3" width="36" customWidth="1"/>
    <col min="4" max="4" width="40" customWidth="1"/>
  </cols>
  <sheetData>
    <row r="1" ht="22" customHeight="1" spans="1:4" x14ac:dyDescent="0.25">
      <c r="A1" s="4" t="s">
        <v>73</v>
      </c>
      <c r="B1" s="4" t="s">
        <v>74</v>
      </c>
      <c r="C1" s="4" t="s">
        <v>75</v>
      </c>
      <c r="D1" s="4" t="s">
        <v>76</v>
      </c>
    </row>
    <row r="2" spans="1:4" x14ac:dyDescent="0.25">
      <c r="A2" t="s">
        <v>77</v>
      </c>
      <c r="B2" t="s">
        <v>78</v>
      </c>
      <c r="C2" t="s">
        <v>79</v>
      </c>
      <c r="D2" t="s">
        <v>80</v>
      </c>
    </row>
    <row r="3" spans="1:4" x14ac:dyDescent="0.25">
      <c r="A3" t="s">
        <v>81</v>
      </c>
      <c r="B3" t="s">
        <v>82</v>
      </c>
      <c r="C3" t="s">
        <v>83</v>
      </c>
      <c r="D3" t="s">
        <v>84</v>
      </c>
    </row>
    <row r="4" spans="1:4" x14ac:dyDescent="0.25">
      <c r="A4" t="s">
        <v>85</v>
      </c>
      <c r="B4" t="s">
        <v>86</v>
      </c>
      <c r="C4" t="s">
        <v>87</v>
      </c>
      <c r="D4" t="s">
        <v>88</v>
      </c>
    </row>
    <row r="5" spans="1:4" x14ac:dyDescent="0.25">
      <c r="A5" t="s">
        <v>27</v>
      </c>
      <c r="B5" t="s">
        <v>89</v>
      </c>
      <c r="C5" t="s">
        <v>90</v>
      </c>
      <c r="D5" t="s">
        <v>91</v>
      </c>
    </row>
    <row r="6" spans="1:4" x14ac:dyDescent="0.25">
      <c r="A6" t="s">
        <v>92</v>
      </c>
      <c r="B6" t="s">
        <v>93</v>
      </c>
      <c r="C6" t="s">
        <v>94</v>
      </c>
      <c r="D6" t="s">
        <v>95</v>
      </c>
    </row>
    <row r="7" spans="1:4" x14ac:dyDescent="0.25">
      <c r="A7" t="s">
        <v>96</v>
      </c>
      <c r="B7" t="s">
        <v>97</v>
      </c>
      <c r="C7" t="s">
        <v>98</v>
      </c>
      <c r="D7" t="s">
        <v>99</v>
      </c>
    </row>
    <row r="8" spans="1:4" x14ac:dyDescent="0.25">
      <c r="A8" t="s">
        <v>100</v>
      </c>
      <c r="B8" t="s">
        <v>101</v>
      </c>
      <c r="C8" t="s">
        <v>102</v>
      </c>
      <c r="D8" t="s">
        <v>103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FormatPr defaultRowHeight="15" outlineLevelRow="0" outlineLevelCol="0" x14ac:dyDescent="55"/>
  <cols>
    <col min="1" max="1" width="14" customWidth="1"/>
    <col min="2" max="2" width="8" customWidth="1"/>
    <col min="3" max="3" width="10" customWidth="1"/>
    <col min="4" max="5" width="16" customWidth="1"/>
    <col min="6" max="6" width="28" customWidth="1"/>
  </cols>
  <sheetData>
    <row r="1" ht="22" customHeight="1" spans="1:6" x14ac:dyDescent="0.25">
      <c r="A1" s="4" t="s">
        <v>104</v>
      </c>
      <c r="B1" s="4" t="s">
        <v>105</v>
      </c>
      <c r="C1" s="4" t="s">
        <v>106</v>
      </c>
      <c r="D1" s="4" t="s">
        <v>107</v>
      </c>
      <c r="E1" s="4" t="s">
        <v>108</v>
      </c>
      <c r="F1" s="4" t="s">
        <v>109</v>
      </c>
    </row>
    <row r="2" spans="1:6" x14ac:dyDescent="0.25">
      <c r="A2" t="s">
        <v>110</v>
      </c>
      <c r="B2">
        <v>2</v>
      </c>
      <c r="C2" t="s">
        <v>111</v>
      </c>
      <c r="D2" s="5">
        <v>30</v>
      </c>
      <c r="E2" s="6">
        <v>2880</v>
      </c>
      <c r="F2" t="s">
        <v>112</v>
      </c>
    </row>
    <row r="3" spans="1:6" x14ac:dyDescent="0.25">
      <c r="A3" t="s">
        <v>113</v>
      </c>
      <c r="B3">
        <v>2</v>
      </c>
      <c r="C3" t="s">
        <v>114</v>
      </c>
      <c r="D3" s="5">
        <v>59</v>
      </c>
      <c r="E3" s="6">
        <v>5664</v>
      </c>
      <c r="F3" t="s">
        <v>115</v>
      </c>
    </row>
    <row r="4" spans="1:6" x14ac:dyDescent="0.25">
      <c r="A4" t="s">
        <v>116</v>
      </c>
      <c r="B4">
        <v>4</v>
      </c>
      <c r="C4" t="s">
        <v>117</v>
      </c>
      <c r="D4" s="5">
        <v>118</v>
      </c>
      <c r="E4" s="6">
        <v>11328</v>
      </c>
      <c r="F4" t="s">
        <v>118</v>
      </c>
    </row>
    <row r="5" spans="1:6" x14ac:dyDescent="0.25">
      <c r="A5" t="s">
        <v>119</v>
      </c>
      <c r="B5">
        <v>8</v>
      </c>
      <c r="C5" t="s">
        <v>120</v>
      </c>
      <c r="D5" s="5">
        <v>236</v>
      </c>
      <c r="E5" s="6">
        <v>22656</v>
      </c>
      <c r="F5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FormatPr defaultRowHeight="15" outlineLevelRow="0" outlineLevelCol="0" x14ac:dyDescent="55"/>
  <cols>
    <col min="1" max="1" width="18" customWidth="1"/>
    <col min="2" max="2" width="32" customWidth="1"/>
    <col min="3" max="3" width="36" customWidth="1"/>
  </cols>
  <sheetData>
    <row r="1" ht="22" customHeight="1" spans="1:3" x14ac:dyDescent="0.25">
      <c r="A1" s="4" t="s">
        <v>122</v>
      </c>
      <c r="B1" s="4" t="s">
        <v>123</v>
      </c>
      <c r="C1" s="4" t="s">
        <v>124</v>
      </c>
    </row>
    <row r="2" spans="1:3" x14ac:dyDescent="0.25">
      <c r="A2" t="s">
        <v>1</v>
      </c>
      <c r="B2" t="s">
        <v>125</v>
      </c>
      <c r="C2" t="s">
        <v>126</v>
      </c>
    </row>
    <row r="3" spans="1:3" x14ac:dyDescent="0.25">
      <c r="A3" t="s">
        <v>25</v>
      </c>
      <c r="B3" t="s">
        <v>127</v>
      </c>
      <c r="C3" t="s">
        <v>128</v>
      </c>
    </row>
    <row r="4" spans="1:3" x14ac:dyDescent="0.25">
      <c r="A4" t="s">
        <v>129</v>
      </c>
      <c r="B4" t="s">
        <v>130</v>
      </c>
      <c r="C4" t="s">
        <v>131</v>
      </c>
    </row>
    <row r="5" spans="1:3" x14ac:dyDescent="0.25">
      <c r="A5" t="s">
        <v>29</v>
      </c>
      <c r="B5" t="s">
        <v>132</v>
      </c>
      <c r="C5" t="s">
        <v>133</v>
      </c>
    </row>
    <row r="6" spans="1:3" x14ac:dyDescent="0.25">
      <c r="A6" t="s">
        <v>134</v>
      </c>
      <c r="B6" t="s">
        <v>135</v>
      </c>
      <c r="C6" t="s">
        <v>136</v>
      </c>
    </row>
    <row r="7" spans="1:3" x14ac:dyDescent="0.25">
      <c r="A7" t="s">
        <v>137</v>
      </c>
      <c r="B7" t="s">
        <v>138</v>
      </c>
      <c r="C7" t="s">
        <v>139</v>
      </c>
    </row>
    <row r="8" spans="1:3" x14ac:dyDescent="0.25">
      <c r="A8" t="s">
        <v>140</v>
      </c>
      <c r="B8" t="s">
        <v>141</v>
      </c>
      <c r="C8" t="s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2"/>
  <sheetFormatPr defaultRowHeight="15" outlineLevelRow="0" outlineLevelCol="0" x14ac:dyDescent="55"/>
  <cols>
    <col min="1" max="1" width="100" customWidth="1"/>
  </cols>
  <sheetData>
    <row r="1" spans="1:1" x14ac:dyDescent="0.25">
      <c r="A1" s="3" t="s">
        <v>143</v>
      </c>
    </row>
    <row r="2" spans="1:1" x14ac:dyDescent="0.25">
      <c r="A2" t="s">
        <v>12</v>
      </c>
    </row>
    <row r="3" spans="1:1" x14ac:dyDescent="0.25">
      <c r="A3" t="s">
        <v>144</v>
      </c>
    </row>
    <row r="4" spans="1:1" x14ac:dyDescent="0.25">
      <c r="A4" t="s">
        <v>145</v>
      </c>
    </row>
    <row r="5" spans="1:1" x14ac:dyDescent="0.25">
      <c r="A5" t="s">
        <v>146</v>
      </c>
    </row>
    <row r="6" spans="1:1" x14ac:dyDescent="0.25">
      <c r="A6" t="s">
        <v>147</v>
      </c>
    </row>
    <row r="7" spans="1:1" x14ac:dyDescent="0.25">
      <c r="A7" t="s">
        <v>148</v>
      </c>
    </row>
    <row r="8" spans="1:1" x14ac:dyDescent="0.25">
      <c r="A8" t="s">
        <v>149</v>
      </c>
    </row>
    <row r="9" spans="1:1" x14ac:dyDescent="0.25">
      <c r="A9" t="s">
        <v>12</v>
      </c>
    </row>
    <row r="10" spans="1:1" x14ac:dyDescent="0.25">
      <c r="A10" t="s">
        <v>150</v>
      </c>
    </row>
    <row r="11" spans="1:1" x14ac:dyDescent="0.25">
      <c r="A11" t="s">
        <v>151</v>
      </c>
    </row>
    <row r="12" spans="1:1" x14ac:dyDescent="0.25">
      <c r="A12" t="s">
        <v>152</v>
      </c>
    </row>
    <row r="13" spans="1:1" x14ac:dyDescent="0.25">
      <c r="A13" t="s">
        <v>12</v>
      </c>
    </row>
    <row r="14" spans="1:1" x14ac:dyDescent="0.25">
      <c r="A14" t="s">
        <v>153</v>
      </c>
    </row>
    <row r="15" spans="1:1" x14ac:dyDescent="0.25">
      <c r="A15" t="s">
        <v>154</v>
      </c>
    </row>
    <row r="16" spans="1:1" x14ac:dyDescent="0.25">
      <c r="A16" t="s">
        <v>12</v>
      </c>
    </row>
    <row r="17" spans="1:1" x14ac:dyDescent="0.25">
      <c r="A17" t="s">
        <v>155</v>
      </c>
    </row>
    <row r="18" spans="1:1" x14ac:dyDescent="0.25">
      <c r="A18" t="s">
        <v>156</v>
      </c>
    </row>
    <row r="19" spans="1:1" x14ac:dyDescent="0.25">
      <c r="A19" t="s">
        <v>157</v>
      </c>
    </row>
    <row r="20" spans="1:1" x14ac:dyDescent="0.25">
      <c r="A20" t="s">
        <v>158</v>
      </c>
    </row>
    <row r="21" spans="1:1" x14ac:dyDescent="0.25">
      <c r="A21" t="s">
        <v>12</v>
      </c>
    </row>
    <row r="22" spans="1:1" x14ac:dyDescent="0.25">
      <c r="A22" t="s">
        <v>159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cols>
    <col min="1" max="1" width="72" customWidth="1"/>
  </cols>
  <sheetData>
    <row r="1" spans="1:1" x14ac:dyDescent="0.25">
      <c r="A1" s="3" t="s">
        <v>160</v>
      </c>
    </row>
    <row r="3" spans="1:1" x14ac:dyDescent="0.25">
      <c r="A3" t="s">
        <v>63</v>
      </c>
    </row>
    <row r="4" spans="1:1" x14ac:dyDescent="0.25">
      <c r="A4" t="s">
        <v>64</v>
      </c>
    </row>
    <row r="5" spans="1:1" x14ac:dyDescent="0.25">
      <c r="A5" t="s">
        <v>65</v>
      </c>
    </row>
    <row r="6" spans="1:1" x14ac:dyDescent="0.25">
      <c r="A6" t="s">
        <v>66</v>
      </c>
    </row>
    <row r="7" spans="1:1" x14ac:dyDescent="0.25">
      <c r="A7" t="s">
        <v>67</v>
      </c>
    </row>
    <row r="8" spans="1:1" x14ac:dyDescent="0.25">
      <c r="A8" t="s">
        <v>68</v>
      </c>
    </row>
    <row r="9" spans="1:1" x14ac:dyDescent="0.25">
      <c r="A9" t="s">
        <v>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FormatPr defaultRowHeight="15" outlineLevelRow="0" outlineLevelCol="0" x14ac:dyDescent="55"/>
  <cols>
    <col min="1" max="1" width="28" customWidth="1"/>
    <col min="2" max="2" width="48" customWidth="1"/>
    <col min="3" max="3" width="12" customWidth="1"/>
  </cols>
  <sheetData>
    <row r="1" ht="22" customHeight="1" spans="1:3" x14ac:dyDescent="0.25">
      <c r="A1" s="4" t="s">
        <v>161</v>
      </c>
      <c r="B1" s="4" t="s">
        <v>162</v>
      </c>
      <c r="C1" s="4" t="s">
        <v>163</v>
      </c>
    </row>
    <row r="2" spans="1:3" x14ac:dyDescent="0.25">
      <c r="A2" t="s">
        <v>164</v>
      </c>
      <c r="B2" t="s">
        <v>165</v>
      </c>
      <c r="C2" t="s">
        <v>166</v>
      </c>
    </row>
    <row r="3" spans="1:3" x14ac:dyDescent="0.25">
      <c r="A3" t="s">
        <v>167</v>
      </c>
      <c r="B3" t="s">
        <v>168</v>
      </c>
      <c r="C3" t="s">
        <v>166</v>
      </c>
    </row>
    <row r="4" spans="1:3" x14ac:dyDescent="0.25">
      <c r="A4" t="s">
        <v>169</v>
      </c>
      <c r="B4" t="s">
        <v>170</v>
      </c>
      <c r="C4" t="s">
        <v>166</v>
      </c>
    </row>
    <row r="5" spans="1:3" x14ac:dyDescent="0.25">
      <c r="A5" t="s">
        <v>171</v>
      </c>
      <c r="B5" t="s">
        <v>172</v>
      </c>
      <c r="C5" t="s">
        <v>173</v>
      </c>
    </row>
    <row r="6" spans="1:3" x14ac:dyDescent="0.25">
      <c r="A6" t="s">
        <v>174</v>
      </c>
      <c r="B6" t="s">
        <v>175</v>
      </c>
      <c r="C6" t="s">
        <v>176</v>
      </c>
    </row>
    <row r="7" spans="1:3" x14ac:dyDescent="0.25">
      <c r="A7" t="s">
        <v>177</v>
      </c>
      <c r="B7" t="s">
        <v>178</v>
      </c>
      <c r="C7" t="s">
        <v>179</v>
      </c>
    </row>
    <row r="8" spans="1:3" x14ac:dyDescent="0.25">
      <c r="A8" t="s">
        <v>180</v>
      </c>
      <c r="B8" t="s">
        <v>181</v>
      </c>
      <c r="C8" t="s">
        <v>182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FormatPr defaultRowHeight="15" outlineLevelRow="0" outlineLevelCol="0" x14ac:dyDescent="55"/>
  <cols>
    <col min="1" max="1" width="8" customWidth="1"/>
    <col min="2" max="2" width="52" customWidth="1"/>
    <col min="3" max="3" width="14" customWidth="1"/>
  </cols>
  <sheetData>
    <row r="1" ht="22" customHeight="1" spans="1:3" x14ac:dyDescent="0.25">
      <c r="A1" s="4" t="s">
        <v>183</v>
      </c>
      <c r="B1" s="4" t="s">
        <v>184</v>
      </c>
      <c r="C1" s="4" t="s">
        <v>185</v>
      </c>
    </row>
    <row r="2" spans="1:3" x14ac:dyDescent="0.25">
      <c r="A2" t="s">
        <v>186</v>
      </c>
      <c r="B2" t="s">
        <v>187</v>
      </c>
      <c r="C2" t="s">
        <v>188</v>
      </c>
    </row>
    <row r="3" spans="1:3" x14ac:dyDescent="0.25">
      <c r="A3" t="s">
        <v>189</v>
      </c>
      <c r="B3" t="s">
        <v>190</v>
      </c>
      <c r="C3" t="s">
        <v>188</v>
      </c>
    </row>
    <row r="4" spans="1:3" x14ac:dyDescent="0.25">
      <c r="A4" t="s">
        <v>191</v>
      </c>
      <c r="B4" t="s">
        <v>192</v>
      </c>
      <c r="C4" t="s">
        <v>188</v>
      </c>
    </row>
    <row r="5" spans="1:3" x14ac:dyDescent="0.25">
      <c r="A5" t="s">
        <v>193</v>
      </c>
      <c r="B5" t="s">
        <v>194</v>
      </c>
      <c r="C5" t="s">
        <v>188</v>
      </c>
    </row>
    <row r="6" spans="1:3" x14ac:dyDescent="0.25">
      <c r="A6" t="s">
        <v>195</v>
      </c>
      <c r="B6" t="s">
        <v>196</v>
      </c>
      <c r="C6" t="s">
        <v>197</v>
      </c>
    </row>
    <row r="7" spans="1:3" x14ac:dyDescent="0.25">
      <c r="A7" t="s">
        <v>198</v>
      </c>
      <c r="B7" t="s">
        <v>199</v>
      </c>
      <c r="C7" t="s">
        <v>200</v>
      </c>
    </row>
    <row r="8" spans="1:3" x14ac:dyDescent="0.25">
      <c r="A8" t="s">
        <v>201</v>
      </c>
      <c r="B8" t="s">
        <v>202</v>
      </c>
      <c r="C8" t="s">
        <v>188</v>
      </c>
    </row>
    <row r="9" spans="1:3" x14ac:dyDescent="0.25">
      <c r="A9" t="s">
        <v>203</v>
      </c>
      <c r="B9" t="s">
        <v>204</v>
      </c>
      <c r="C9" t="s">
        <v>205</v>
      </c>
    </row>
    <row r="10" spans="1:3" x14ac:dyDescent="0.25">
      <c r="A10" t="s">
        <v>206</v>
      </c>
      <c r="B10" t="s">
        <v>207</v>
      </c>
      <c r="C10" t="s">
        <v>188</v>
      </c>
    </row>
    <row r="11" spans="1:3" x14ac:dyDescent="0.25">
      <c r="A11" t="s">
        <v>208</v>
      </c>
      <c r="B11" t="s">
        <v>209</v>
      </c>
      <c r="C11" t="s">
        <v>188</v>
      </c>
    </row>
    <row r="12" spans="1:3" x14ac:dyDescent="0.25">
      <c r="A12" t="s">
        <v>210</v>
      </c>
      <c r="B12" t="s">
        <v>211</v>
      </c>
      <c r="C12" t="s">
        <v>212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FormatPr defaultRowHeight="15" outlineLevelRow="0" outlineLevelCol="0" x14ac:dyDescent="55"/>
  <cols>
    <col min="1" max="1" width="18" customWidth="1"/>
    <col min="2" max="2" width="22" customWidth="1"/>
    <col min="3" max="3" width="40" customWidth="1"/>
  </cols>
  <sheetData>
    <row r="1" ht="22" customHeight="1" spans="1:3" x14ac:dyDescent="0.25">
      <c r="A1" s="4" t="s">
        <v>213</v>
      </c>
      <c r="B1" s="4" t="s">
        <v>214</v>
      </c>
      <c r="C1" s="4" t="s">
        <v>215</v>
      </c>
    </row>
    <row r="2" spans="1:3" x14ac:dyDescent="0.25">
      <c r="A2" t="s">
        <v>216</v>
      </c>
      <c r="B2" t="s">
        <v>217</v>
      </c>
      <c r="C2" t="s">
        <v>218</v>
      </c>
    </row>
    <row r="3" spans="1:3" x14ac:dyDescent="0.25">
      <c r="A3" t="s">
        <v>219</v>
      </c>
      <c r="B3" t="s">
        <v>220</v>
      </c>
      <c r="C3" t="s">
        <v>221</v>
      </c>
    </row>
    <row r="4" spans="1:3" x14ac:dyDescent="0.25">
      <c r="A4" t="s">
        <v>222</v>
      </c>
      <c r="B4" t="s">
        <v>220</v>
      </c>
      <c r="C4" t="s">
        <v>223</v>
      </c>
    </row>
    <row r="5" spans="1:3" x14ac:dyDescent="0.25">
      <c r="A5" t="s">
        <v>224</v>
      </c>
      <c r="B5" t="s">
        <v>225</v>
      </c>
      <c r="C5" t="s">
        <v>226</v>
      </c>
    </row>
    <row r="6" spans="1:3" x14ac:dyDescent="0.25">
      <c r="A6" t="s">
        <v>227</v>
      </c>
      <c r="B6" t="s">
        <v>228</v>
      </c>
      <c r="C6" t="s">
        <v>229</v>
      </c>
    </row>
    <row r="7" spans="1:3" x14ac:dyDescent="0.25">
      <c r="A7" t="s">
        <v>230</v>
      </c>
      <c r="B7" t="s">
        <v>231</v>
      </c>
      <c r="C7" t="s">
        <v>232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Monthly On-Demand</vt:lpstr>
      <vt:lpstr>Architecture</vt:lpstr>
      <vt:lpstr>EC2 Sizing</vt:lpstr>
      <vt:lpstr>Design Comparison</vt:lpstr>
      <vt:lpstr>Assumptions</vt:lpstr>
      <vt:lpstr>Excluded Items</vt:lpstr>
      <vt:lpstr>Production Env</vt:lpstr>
      <vt:lpstr>Deploy Checklist</vt:lpstr>
      <vt:lpstr>Monitoring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Zimson Service Management</dc:creator>
  <dc:title/>
  <dc:subject/>
  <dc:description/>
  <cp:keywords/>
  <cp:category/>
  <cp:lastModifiedBy>Unknown</cp:lastModifiedBy>
  <dcterms:created xsi:type="dcterms:W3CDTF">2026-05-26T08:48:48Z</dcterms:created>
  <dcterms:modified xsi:type="dcterms:W3CDTF">2026-05-26T08:48:48Z</dcterms:modified>
</cp:coreProperties>
</file>